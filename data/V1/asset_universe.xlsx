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esktop\Gestión cartera\Valores liquidativos fondos\V1\"/>
    </mc:Choice>
  </mc:AlternateContent>
  <xr:revisionPtr revIDLastSave="0" documentId="13_ncr:9_{8A5180FB-C083-4E8D-A0EB-044F3404DD92}" xr6:coauthVersionLast="47" xr6:coauthVersionMax="47" xr10:uidLastSave="{00000000-0000-0000-0000-000000000000}"/>
  <bookViews>
    <workbookView xWindow="-120" yWindow="-120" windowWidth="29040" windowHeight="15720" xr2:uid="{D3FB7755-CA35-4336-892F-656AB12C0130}"/>
  </bookViews>
  <sheets>
    <sheet name="2026-02-28T19-52_export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</calcChain>
</file>

<file path=xl/sharedStrings.xml><?xml version="1.0" encoding="utf-8"?>
<sst xmlns="http://schemas.openxmlformats.org/spreadsheetml/2006/main" count="59" uniqueCount="47">
  <si>
    <t>source</t>
  </si>
  <si>
    <t>file</t>
  </si>
  <si>
    <t>asset_name</t>
  </si>
  <si>
    <t>America</t>
  </si>
  <si>
    <t>Europe</t>
  </si>
  <si>
    <t>Asia</t>
  </si>
  <si>
    <t>ES0112611001</t>
  </si>
  <si>
    <t>local</t>
  </si>
  <si>
    <t>ES0112611001.json</t>
  </si>
  <si>
    <t>Azvalor Internacional FI</t>
  </si>
  <si>
    <t>ES0159259011</t>
  </si>
  <si>
    <t>ES0159259011.json</t>
  </si>
  <si>
    <t>Magallanes European Equity M FI</t>
  </si>
  <si>
    <t>LU1598719752</t>
  </si>
  <si>
    <t>LU1598719752.json</t>
  </si>
  <si>
    <t>Cobas International Fund-P Acc EUR</t>
  </si>
  <si>
    <t>LU1598720172</t>
  </si>
  <si>
    <t>LU1598720172.json</t>
  </si>
  <si>
    <t>Cobas Large Cap Fund-P Acc EUR</t>
  </si>
  <si>
    <t>LU3038481936</t>
  </si>
  <si>
    <t>LU3038481936.json</t>
  </si>
  <si>
    <t>Hamco SICAV - Global Value R EUR Acc</t>
  </si>
  <si>
    <t>IE00BYX5NX33</t>
  </si>
  <si>
    <t>IE00BYX5NX33.json</t>
  </si>
  <si>
    <t>Fidelity MSCI World Index Fund P-ACC-EUR</t>
  </si>
  <si>
    <t>IE0031786696</t>
  </si>
  <si>
    <t>IE0031786696.json</t>
  </si>
  <si>
    <t>Vanguard Emerging Markets Stock Index Fund EUR Acc</t>
  </si>
  <si>
    <t>IE0032620787</t>
  </si>
  <si>
    <t>IE0032620787.json</t>
  </si>
  <si>
    <t>Vanguard U.S. 500 Stock Index Fund Investor EUR Accumulation</t>
  </si>
  <si>
    <t>IE00B42LF923</t>
  </si>
  <si>
    <t>IE00B42LF923.json</t>
  </si>
  <si>
    <t>Vanguard Global Small-Cap Index Fund USD Acc</t>
  </si>
  <si>
    <t>IE00BD0NCM55</t>
  </si>
  <si>
    <t>IE00BD0NCM55.json</t>
  </si>
  <si>
    <t>iShares Developed World Index (IE) D Acc EUR</t>
  </si>
  <si>
    <t>IE00BYX5MX67</t>
  </si>
  <si>
    <t>IE00BYX5MX67.json</t>
  </si>
  <si>
    <t>Fidelity S&amp;P 500 Index Fund P-ACC-EUR</t>
  </si>
  <si>
    <t>IE00B42W3S00</t>
  </si>
  <si>
    <t>IE00B42W3S00.json</t>
  </si>
  <si>
    <t>Vanguard Global Small-Cap Index Fund Investor EUR Accumulation</t>
  </si>
  <si>
    <t>ES0165265002</t>
  </si>
  <si>
    <t>ES0165265002.json</t>
  </si>
  <si>
    <t>MyInvestor Nasdaq 100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</si>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</sst>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43A5-C129-4BE2-A765-8DBA0806029C}">
  <dimension ref="A1:G14"/>
  <sheetViews>
    <sheetView tabSelected="1" workbookViewId="0"/>
  </sheetViews>
  <sheetFormatPr baseColWidth="10" defaultRowHeight="15" x14ac:dyDescent="0.25"/>
  <cols>
    <col min="3" max="3" width="29.5703125" customWidth="1"/>
    <col min="4" max="4" width="69.28515625" customWidth="1"/>
    <col min="5" max="5" width="8.28515625" bestFit="1" customWidth="1"/>
    <col min="6" max="6" width="7.140625" bestFit="1" customWidth="1"/>
    <col min="7" max="7" width="4.85546875" bestFit="1" customWidth="1"/>
    <col min="8" max="8" width="10" customWidth="1"/>
    <col min="9" max="9" width="24.140625" customWidth="1"/>
  </cols>
  <sheetData>
    <row r="1" spans="1:7" x14ac:dyDescent="0.2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53</v>
      </c>
      <c r="F2">
        <v>42</v>
      </c>
      <c r="G2">
        <f>100-E2-F2</f>
        <v>5</v>
      </c>
    </row>
    <row r="3" spans="1:7" x14ac:dyDescent="0.25">
      <c r="A3" t="s">
        <v>10</v>
      </c>
      <c r="B3" t="s">
        <v>7</v>
      </c>
      <c r="C3" t="s">
        <v>11</v>
      </c>
      <c r="D3" t="s">
        <v>12</v>
      </c>
      <c r="E3">
        <v>6</v>
      </c>
      <c r="F3">
        <v>93</v>
      </c>
      <c r="G3">
        <f>100-E3-F3</f>
        <v>1</v>
      </c>
    </row>
    <row r="4" spans="1:7" x14ac:dyDescent="0.25">
      <c r="A4" t="s">
        <v>13</v>
      </c>
      <c r="B4" t="s">
        <v>7</v>
      </c>
      <c r="C4" t="s">
        <v>14</v>
      </c>
      <c r="D4" t="s">
        <v>15</v>
      </c>
      <c r="E4">
        <v>16</v>
      </c>
      <c r="F4">
        <v>66</v>
      </c>
      <c r="G4">
        <f>100-E4-F4</f>
        <v>18</v>
      </c>
    </row>
    <row r="5" spans="1:7" x14ac:dyDescent="0.25">
      <c r="A5" t="s">
        <v>16</v>
      </c>
      <c r="B5" t="s">
        <v>7</v>
      </c>
      <c r="C5" t="s">
        <v>17</v>
      </c>
      <c r="D5" t="s">
        <v>18</v>
      </c>
      <c r="E5">
        <v>16</v>
      </c>
      <c r="F5">
        <v>66</v>
      </c>
      <c r="G5">
        <f>100-E5-F5</f>
        <v>18</v>
      </c>
    </row>
    <row r="6" spans="1:7" x14ac:dyDescent="0.25">
      <c r="A6" t="s">
        <v>19</v>
      </c>
      <c r="B6" t="s">
        <v>7</v>
      </c>
      <c r="C6" t="s">
        <v>20</v>
      </c>
      <c r="D6" t="s">
        <v>21</v>
      </c>
      <c r="E6">
        <v>21</v>
      </c>
      <c r="F6">
        <v>18</v>
      </c>
      <c r="G6">
        <f>100-E6-F6</f>
        <v>61</v>
      </c>
    </row>
    <row r="7" spans="1:7" x14ac:dyDescent="0.25">
      <c r="A7" t="s">
        <v>22</v>
      </c>
      <c r="B7" t="s">
        <v>7</v>
      </c>
      <c r="C7" t="s">
        <v>23</v>
      </c>
      <c r="D7" t="s">
        <v>24</v>
      </c>
      <c r="E7">
        <v>75</v>
      </c>
      <c r="F7">
        <v>17</v>
      </c>
      <c r="G7">
        <f>100-E7-F7</f>
        <v>8</v>
      </c>
    </row>
    <row r="8" spans="1:7" x14ac:dyDescent="0.25">
      <c r="A8" t="s">
        <v>25</v>
      </c>
      <c r="B8" t="s">
        <v>7</v>
      </c>
      <c r="C8" t="s">
        <v>26</v>
      </c>
      <c r="D8" t="s">
        <v>27</v>
      </c>
      <c r="E8">
        <v>7</v>
      </c>
      <c r="F8">
        <v>12</v>
      </c>
      <c r="G8">
        <f>100-E8-F8</f>
        <v>81</v>
      </c>
    </row>
    <row r="9" spans="1:7" x14ac:dyDescent="0.25">
      <c r="A9" t="s">
        <v>28</v>
      </c>
      <c r="B9" t="s">
        <v>7</v>
      </c>
      <c r="C9" t="s">
        <v>29</v>
      </c>
      <c r="D9" t="s">
        <v>30</v>
      </c>
      <c r="E9">
        <v>99</v>
      </c>
      <c r="F9">
        <v>1</v>
      </c>
      <c r="G9">
        <f>100-E9-F9</f>
        <v>0</v>
      </c>
    </row>
    <row r="10" spans="1:7" x14ac:dyDescent="0.25">
      <c r="A10" t="s">
        <v>31</v>
      </c>
      <c r="B10" t="s">
        <v>7</v>
      </c>
      <c r="C10" t="s">
        <v>32</v>
      </c>
      <c r="D10" t="s">
        <v>33</v>
      </c>
      <c r="E10">
        <v>64</v>
      </c>
      <c r="F10">
        <v>20</v>
      </c>
      <c r="G10">
        <f>100-E10-F10</f>
        <v>16</v>
      </c>
    </row>
    <row r="11" spans="1:7" x14ac:dyDescent="0.25">
      <c r="A11" t="s">
        <v>34</v>
      </c>
      <c r="B11" t="s">
        <v>7</v>
      </c>
      <c r="C11" t="s">
        <v>35</v>
      </c>
      <c r="D11" t="s">
        <v>36</v>
      </c>
      <c r="E11">
        <v>76</v>
      </c>
      <c r="F11">
        <v>16</v>
      </c>
      <c r="G11">
        <f>100-E11-F11</f>
        <v>8</v>
      </c>
    </row>
    <row r="12" spans="1:7" x14ac:dyDescent="0.25">
      <c r="A12" t="s">
        <v>37</v>
      </c>
      <c r="B12" t="s">
        <v>7</v>
      </c>
      <c r="C12" t="s">
        <v>38</v>
      </c>
      <c r="D12" t="s">
        <v>39</v>
      </c>
      <c r="E12">
        <v>99</v>
      </c>
      <c r="F12">
        <v>1</v>
      </c>
      <c r="G12">
        <f>100-E12-F12</f>
        <v>0</v>
      </c>
    </row>
    <row r="13" spans="1:7" x14ac:dyDescent="0.25">
      <c r="A13" t="s">
        <v>40</v>
      </c>
      <c r="B13" t="s">
        <v>7</v>
      </c>
      <c r="C13" t="s">
        <v>41</v>
      </c>
      <c r="D13" t="s">
        <v>42</v>
      </c>
      <c r="E13">
        <v>65</v>
      </c>
      <c r="F13">
        <v>17</v>
      </c>
      <c r="G13">
        <f>100-E13-F13</f>
        <v>18</v>
      </c>
    </row>
    <row r="14" spans="1:7" x14ac:dyDescent="0.25">
      <c r="A14" t="s">
        <v>43</v>
      </c>
      <c r="B14" t="s">
        <v>7</v>
      </c>
      <c r="C14" t="s">
        <v>44</v>
      </c>
      <c r="D14" t="s">
        <v>45</v>
      </c>
      <c r="E14">
        <v>97</v>
      </c>
      <c r="F14">
        <v>1</v>
      </c>
      <c r="G14">
        <f>100-E14-F14</f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2026-02-28T19-52_export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pc</dc:creator>
  <cp:lastModifiedBy>Alonso Del Rincón Loza</cp:lastModifiedBy>
  <dcterms:created xsi:type="dcterms:W3CDTF">2026-02-28T19:59:27Z</dcterms:created>
  <dcterms:modified xsi:type="dcterms:W3CDTF">2026-02-28T20:01:41Z</dcterms:modified>
</cp:coreProperties>
</file>