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\Desktop\Gestión cartera\Valores liquidativos fondos\V2\"/>
    </mc:Choice>
  </mc:AlternateContent>
  <xr:revisionPtr revIDLastSave="0" documentId="13_ncr:1_{8C37EE9D-36E1-46F4-8787-5B1ECB9BB9EA}" xr6:coauthVersionLast="47" xr6:coauthVersionMax="47" xr10:uidLastSave="{00000000-0000-0000-0000-000000000000}"/>
  <bookViews>
    <workbookView xWindow="-120" yWindow="-120" windowWidth="29040" windowHeight="15720" xr2:uid="{D3FB7755-CA35-4336-892F-656AB12C0130}"/>
  </bookViews>
  <sheets>
    <sheet name="2026-02-28T19-52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G6" i="1"/>
  <c r="G5" i="1"/>
  <c r="G2" i="1"/>
</calcChain>
</file>

<file path=xl/sharedStrings.xml><?xml version="1.0" encoding="utf-8"?>
<sst xmlns="http://schemas.openxmlformats.org/spreadsheetml/2006/main" count="35" uniqueCount="29">
  <si>
    <t>source</t>
  </si>
  <si>
    <t>file</t>
  </si>
  <si>
    <t>asset_name</t>
  </si>
  <si>
    <t>America</t>
  </si>
  <si>
    <t>Europe</t>
  </si>
  <si>
    <t>Asia</t>
  </si>
  <si>
    <t>ES0112611001</t>
  </si>
  <si>
    <t>local</t>
  </si>
  <si>
    <t>Azvalor Internacional FI</t>
  </si>
  <si>
    <t>LU3038481936</t>
  </si>
  <si>
    <t>Hamco SICAV - Global Value R EUR Acc</t>
  </si>
  <si>
    <t>IE00BYX5NX33</t>
  </si>
  <si>
    <t>Fidelity MSCI World Index Fund P-ACC-EUR</t>
  </si>
  <si>
    <t>IE0031786696</t>
  </si>
  <si>
    <t>Vanguard Emerging Markets Stock Index Fund EUR Acc</t>
  </si>
  <si>
    <t>IE00B42W3S00</t>
  </si>
  <si>
    <t>Vanguard Global Small-Cap Index Fund Investor EUR Accumulation</t>
  </si>
  <si>
    <t>asset</t>
  </si>
  <si>
    <t>ES0112611001_V2.json</t>
  </si>
  <si>
    <t>IE00B42W3S00_V2.json</t>
  </si>
  <si>
    <t>IE00BYX5NX33_V2.json</t>
  </si>
  <si>
    <t>IE0031786696_V2.json</t>
  </si>
  <si>
    <t>LU3038481936_V2.json</t>
  </si>
  <si>
    <t>IE000N4ZYX28</t>
  </si>
  <si>
    <t>ES0165242001</t>
  </si>
  <si>
    <t>ES0165242001_V2.json</t>
  </si>
  <si>
    <t>IE000N4ZYX28_V2.json</t>
  </si>
  <si>
    <t>Myinvestor S&amp;P500 Equiponderado FI</t>
  </si>
  <si>
    <t>iShares US Index Fund (IE) S Acc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</si>
</sst>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43A5-C129-4BE2-A765-8DBA0806029C}">
  <dimension ref="A1:G8"/>
  <sheetViews>
    <sheetView tabSelected="1" workbookViewId="0">
      <selection activeCell="D7" sqref="D7"/>
    </sheetView>
  </sheetViews>
  <sheetFormatPr baseColWidth="10" defaultRowHeight="15" x14ac:dyDescent="0.25"/>
  <cols>
    <col min="1" max="1" width="19.85546875" customWidth="1"/>
    <col min="3" max="3" width="29.5703125" customWidth="1"/>
    <col min="4" max="4" width="69.28515625" customWidth="1"/>
    <col min="5" max="5" width="8.28515625" bestFit="1" customWidth="1"/>
    <col min="6" max="6" width="7.140625" bestFit="1" customWidth="1"/>
    <col min="7" max="7" width="4.85546875" bestFit="1" customWidth="1"/>
    <col min="8" max="8" width="10" customWidth="1"/>
    <col min="9" max="9" width="24.140625" customWidth="1"/>
  </cols>
  <sheetData>
    <row r="1" spans="1:7" x14ac:dyDescent="0.2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18</v>
      </c>
      <c r="D2" t="s">
        <v>8</v>
      </c>
      <c r="E2">
        <v>53</v>
      </c>
      <c r="F2">
        <v>42</v>
      </c>
      <c r="G2">
        <f>100-E2-F2</f>
        <v>5</v>
      </c>
    </row>
    <row r="3" spans="1:7" x14ac:dyDescent="0.25">
      <c r="A3" t="s">
        <v>24</v>
      </c>
      <c r="B3" t="s">
        <v>7</v>
      </c>
      <c r="C3" t="s">
        <v>25</v>
      </c>
      <c r="D3" t="s">
        <v>27</v>
      </c>
      <c r="E3">
        <v>99</v>
      </c>
      <c r="F3">
        <v>1</v>
      </c>
      <c r="G3">
        <v>0</v>
      </c>
    </row>
    <row r="4" spans="1:7" x14ac:dyDescent="0.25">
      <c r="A4" t="s">
        <v>23</v>
      </c>
      <c r="B4" t="s">
        <v>7</v>
      </c>
      <c r="C4" t="s">
        <v>26</v>
      </c>
      <c r="D4" t="s">
        <v>28</v>
      </c>
      <c r="E4">
        <v>100</v>
      </c>
      <c r="F4">
        <v>0</v>
      </c>
      <c r="G4">
        <v>0</v>
      </c>
    </row>
    <row r="5" spans="1:7" x14ac:dyDescent="0.25">
      <c r="A5" t="s">
        <v>15</v>
      </c>
      <c r="B5" t="s">
        <v>7</v>
      </c>
      <c r="C5" t="s">
        <v>19</v>
      </c>
      <c r="D5" t="s">
        <v>16</v>
      </c>
      <c r="E5">
        <v>65</v>
      </c>
      <c r="F5">
        <v>17</v>
      </c>
      <c r="G5">
        <f t="shared" ref="G5:G8" si="0">100-E5-F5</f>
        <v>18</v>
      </c>
    </row>
    <row r="6" spans="1:7" x14ac:dyDescent="0.25">
      <c r="A6" t="s">
        <v>11</v>
      </c>
      <c r="B6" t="s">
        <v>7</v>
      </c>
      <c r="C6" t="s">
        <v>20</v>
      </c>
      <c r="D6" t="s">
        <v>12</v>
      </c>
      <c r="E6">
        <v>75</v>
      </c>
      <c r="F6">
        <v>17</v>
      </c>
      <c r="G6">
        <f t="shared" si="0"/>
        <v>8</v>
      </c>
    </row>
    <row r="7" spans="1:7" x14ac:dyDescent="0.25">
      <c r="A7" t="s">
        <v>13</v>
      </c>
      <c r="B7" t="s">
        <v>7</v>
      </c>
      <c r="C7" t="s">
        <v>21</v>
      </c>
      <c r="D7" t="s">
        <v>14</v>
      </c>
      <c r="E7">
        <v>7</v>
      </c>
      <c r="F7">
        <v>12</v>
      </c>
      <c r="G7">
        <f t="shared" si="0"/>
        <v>81</v>
      </c>
    </row>
    <row r="8" spans="1:7" x14ac:dyDescent="0.25">
      <c r="A8" t="s">
        <v>9</v>
      </c>
      <c r="B8" t="s">
        <v>7</v>
      </c>
      <c r="C8" t="s">
        <v>22</v>
      </c>
      <c r="D8" t="s">
        <v>10</v>
      </c>
      <c r="E8">
        <v>21</v>
      </c>
      <c r="F8">
        <v>18</v>
      </c>
      <c r="G8">
        <f t="shared" si="0"/>
        <v>61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2026-02-28T19-52_export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pc</dc:creator>
  <cp:lastModifiedBy>Alonso Del Rincón Loza</cp:lastModifiedBy>
  <dcterms:created xsi:type="dcterms:W3CDTF">2026-02-28T19:59:27Z</dcterms:created>
  <dcterms:modified xsi:type="dcterms:W3CDTF">2026-02-28T21:23:13Z</dcterms:modified>
</cp:coreProperties>
</file>